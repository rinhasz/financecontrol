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0648141cfeafb09/ARQUIVOS_FINANCE/"/>
    </mc:Choice>
  </mc:AlternateContent>
  <xr:revisionPtr revIDLastSave="32" documentId="8_{F861F0F9-6987-4D3B-BFB9-990BADA01035}" xr6:coauthVersionLast="47" xr6:coauthVersionMax="47" xr10:uidLastSave="{BE757ECC-A852-47B0-96F4-24FC73477B39}"/>
  <bookViews>
    <workbookView xWindow="-120" yWindow="-120" windowWidth="29040" windowHeight="15720" xr2:uid="{2311E0C5-D708-435B-B77D-C428F24E8AE7}"/>
  </bookViews>
  <sheets>
    <sheet name="POSICAO_DETALHADA_EMISSAO_ITAU" sheetId="2" r:id="rId1"/>
    <sheet name="POSICAO_DETALHADA_ACOES" sheetId="4" r:id="rId2"/>
    <sheet name="POSICAO_DETALHADA_RF_CORRETORA" sheetId="5" r:id="rId3"/>
  </sheet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3" i="5" l="1"/>
  <c r="E2" i="5"/>
</calcChain>
</file>

<file path=xl/sharedStrings.xml><?xml version="1.0" encoding="utf-8"?>
<sst xmlns="http://schemas.openxmlformats.org/spreadsheetml/2006/main" count="347" uniqueCount="124">
  <si>
    <t>EMISSOR</t>
  </si>
  <si>
    <t>DEXCO</t>
  </si>
  <si>
    <t>Produto</t>
  </si>
  <si>
    <t>Data da aplicação</t>
  </si>
  <si>
    <t>Saldo atualizado até</t>
  </si>
  <si>
    <t>Valor de aplicação ou Valor base (R$)</t>
  </si>
  <si>
    <t>Remuneração</t>
  </si>
  <si>
    <t>Saldo bruto atualizado (R$)</t>
  </si>
  <si>
    <t>Saldo líquido atualizado (R$)</t>
  </si>
  <si>
    <t>Liquidez diária a partir de</t>
  </si>
  <si>
    <t>Renovação Automática</t>
  </si>
  <si>
    <t>LCA-DI </t>
  </si>
  <si>
    <t>11/10/24 </t>
  </si>
  <si>
    <t>02/09/27 </t>
  </si>
  <si>
    <t>25/08/2026 </t>
  </si>
  <si>
    <t>---  </t>
  </si>
  <si>
    <t>30/05/25 </t>
  </si>
  <si>
    <t>- </t>
  </si>
  <si>
    <t>01/04/25 </t>
  </si>
  <si>
    <t>14/09/26 </t>
  </si>
  <si>
    <t>13/12/25 </t>
  </si>
  <si>
    <t>12/11/25 </t>
  </si>
  <si>
    <t>25/05/28 </t>
  </si>
  <si>
    <t>22/02/26 </t>
  </si>
  <si>
    <t>02/03/26 </t>
  </si>
  <si>
    <t>23/09/27 </t>
  </si>
  <si>
    <t>26/06/25 </t>
  </si>
  <si>
    <t>04/03/26 </t>
  </si>
  <si>
    <t>19/07/27 </t>
  </si>
  <si>
    <t>22/04/25 </t>
  </si>
  <si>
    <t>LCI-DI </t>
  </si>
  <si>
    <t>10/10/24 </t>
  </si>
  <si>
    <t>06/05/27 </t>
  </si>
  <si>
    <t>28/04/25 </t>
  </si>
  <si>
    <t>15/03/27 </t>
  </si>
  <si>
    <t>20/11/25 </t>
  </si>
  <si>
    <t>27/08/29 </t>
  </si>
  <si>
    <t>25/02/26 </t>
  </si>
  <si>
    <t>03/01/31 </t>
  </si>
  <si>
    <t>11/07/26 </t>
  </si>
  <si>
    <t>14/06/28 </t>
  </si>
  <si>
    <t>12/12/25 </t>
  </si>
  <si>
    <t>20/12/27 </t>
  </si>
  <si>
    <t>22/09/25 </t>
  </si>
  <si>
    <t>18/12/28 </t>
  </si>
  <si>
    <t>19/06/26 </t>
  </si>
  <si>
    <t>03/03/26 </t>
  </si>
  <si>
    <t>21/12/26 </t>
  </si>
  <si>
    <t>21/09/25 </t>
  </si>
  <si>
    <t>27/12/27 </t>
  </si>
  <si>
    <t>25/09/25 </t>
  </si>
  <si>
    <t>05/07/27 </t>
  </si>
  <si>
    <t>06/07/25 </t>
  </si>
  <si>
    <t>05/03/26 </t>
  </si>
  <si>
    <t>19/12/28 </t>
  </si>
  <si>
    <t>21/06/26 </t>
  </si>
  <si>
    <t>LCI-PRE </t>
  </si>
  <si>
    <t>03/12/24 </t>
  </si>
  <si>
    <t>07/12/26 </t>
  </si>
  <si>
    <t>05/09/25 </t>
  </si>
  <si>
    <t>LIG-DI DI </t>
  </si>
  <si>
    <t>25/02/22 </t>
  </si>
  <si>
    <t>22/02/27 </t>
  </si>
  <si>
    <t>14/03/23 </t>
  </si>
  <si>
    <t>26/03/24 </t>
  </si>
  <si>
    <t>23/08/27 </t>
  </si>
  <si>
    <t>27/03/24 </t>
  </si>
  <si>
    <t>27/03/25 </t>
  </si>
  <si>
    <t>08/11/27 </t>
  </si>
  <si>
    <t>11/04/25 </t>
  </si>
  <si>
    <t>01/02/29 </t>
  </si>
  <si>
    <t>17/12/25 </t>
  </si>
  <si>
    <t>05/07/28 </t>
  </si>
  <si>
    <t>LIG-IPCA IPCA </t>
  </si>
  <si>
    <t>24/09/20 </t>
  </si>
  <si>
    <t>15/05/35 </t>
  </si>
  <si>
    <t>LIG-PRE PRE </t>
  </si>
  <si>
    <t>18/03/24 </t>
  </si>
  <si>
    <t>01/10/27 </t>
  </si>
  <si>
    <t>19/03/24 </t>
  </si>
  <si>
    <t>11/12/24 </t>
  </si>
  <si>
    <t>15/02/28 </t>
  </si>
  <si>
    <t>Ativo</t>
  </si>
  <si>
    <t>Variação do dia</t>
  </si>
  <si>
    <t>Qtde. disponível</t>
  </si>
  <si>
    <t>Valor financeiro</t>
  </si>
  <si>
    <t>Consenso Reuters</t>
  </si>
  <si>
    <t>Empresa</t>
  </si>
  <si>
    <t>HASH11</t>
  </si>
  <si>
    <t>Nenhum</t>
  </si>
  <si>
    <t>ITUB4</t>
  </si>
  <si>
    <t>SBSP3</t>
  </si>
  <si>
    <t>HASHDEX NCI CI</t>
  </si>
  <si>
    <t>ITAUUNIBANCO PN N1</t>
  </si>
  <si>
    <t>SuspendedRecommendation</t>
  </si>
  <si>
    <t>SABESP ON NM</t>
  </si>
  <si>
    <t>OutPerform</t>
  </si>
  <si>
    <t>CDB COFRINHOS</t>
  </si>
  <si>
    <t>25/08/2026</t>
  </si>
  <si>
    <t>25/088/2031</t>
  </si>
  <si>
    <t>Data de vencto</t>
  </si>
  <si>
    <t>Qtde disponível</t>
  </si>
  <si>
    <t>Rec Itaú Corretora</t>
  </si>
  <si>
    <t>Qtde bloqueada</t>
  </si>
  <si>
    <t>94.0000% do DI</t>
  </si>
  <si>
    <t>94.5000% do DI</t>
  </si>
  <si>
    <t>93.5000% do DI</t>
  </si>
  <si>
    <t>92.0000% do DI</t>
  </si>
  <si>
    <t>92.5000% do DI</t>
  </si>
  <si>
    <t>95.5000% do DI</t>
  </si>
  <si>
    <t>13.240% aa</t>
  </si>
  <si>
    <t>102.0% do DI</t>
  </si>
  <si>
    <t>101.0% do DI</t>
  </si>
  <si>
    <t>100.0% do DI</t>
  </si>
  <si>
    <t>96.0% do DI</t>
  </si>
  <si>
    <t>95.5% do DI</t>
  </si>
  <si>
    <t>IPCA + 4.05% aa</t>
  </si>
  <si>
    <t>10.77% aa</t>
  </si>
  <si>
    <t>10.85% aa</t>
  </si>
  <si>
    <t>14.63% aa</t>
  </si>
  <si>
    <t>BANCO PINE</t>
  </si>
  <si>
    <t>CDB1223I9RK - CDB PINEBM IPCA 7% 18/01/2027</t>
  </si>
  <si>
    <t>CRA02300NAX - CRA DEXCO IPCA 6.05% 17/10/2033</t>
  </si>
  <si>
    <t>PREÇO UNITÁRIO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</si>
</sst>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00"/>
  </numFmts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8"/>
      <color rgb="FF333333"/>
      <name val="Arial"/>
      <family val="2"/>
    </font>
    <font>
      <sz val="8"/>
      <color rgb="FF464646"/>
      <name val="Arial"/>
      <family val="2"/>
    </font>
    <font>
      <b/>
      <sz val="11"/>
      <color rgb="FF262626"/>
      <name val="Aptos Narrow"/>
      <family val="2"/>
      <scheme val="minor"/>
    </font>
    <font>
      <sz val="9"/>
      <color theme="1"/>
      <name val="Aptos Narrow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EFEFEF"/>
        <bgColor indexed="64"/>
      </patternFill>
    </fill>
    <fill>
      <patternFill patternType="solid">
        <fgColor rgb="FF7D86A8"/>
        <bgColor indexed="64"/>
      </patternFill>
    </fill>
    <fill>
      <patternFill patternType="solid">
        <fgColor rgb="FFE5E2E1"/>
        <bgColor indexed="64"/>
      </patternFill>
    </fill>
    <fill>
      <patternFill patternType="solid">
        <fgColor rgb="FFF5F3F2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6C6C6"/>
      </left>
      <right style="medium">
        <color rgb="FFC6C6C6"/>
      </right>
      <top style="medium">
        <color rgb="FFC6C6C6"/>
      </top>
      <bottom/>
      <diagonal/>
    </border>
    <border>
      <left style="medium">
        <color rgb="FFC6C6C6"/>
      </left>
      <right/>
      <top style="medium">
        <color rgb="FFC6C6C6"/>
      </top>
      <bottom style="medium">
        <color rgb="FFC6C6C6"/>
      </bottom>
      <diagonal/>
    </border>
    <border>
      <left/>
      <right style="medium">
        <color rgb="FFC6C6C6"/>
      </right>
      <top style="medium">
        <color rgb="FFC6C6C6"/>
      </top>
      <bottom style="medium">
        <color rgb="FFC6C6C6"/>
      </bottom>
      <diagonal/>
    </border>
    <border>
      <left style="medium">
        <color rgb="FFC6C6C6"/>
      </left>
      <right style="medium">
        <color rgb="FFC6C6C6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6">
    <xf numFmtId="0" fontId="0" fillId="0" borderId="0" xfId="0"/>
    <xf numFmtId="0" fontId="18" fillId="35" borderId="10" xfId="0" applyFont="1" applyFill="1" applyBorder="1" applyAlignment="1">
      <alignment horizontal="center" vertical="center" wrapText="1"/>
    </xf>
    <xf numFmtId="0" fontId="19" fillId="34" borderId="13" xfId="0" applyFont="1" applyFill="1" applyBorder="1" applyAlignment="1">
      <alignment horizontal="center" vertical="center" wrapText="1"/>
    </xf>
    <xf numFmtId="0" fontId="19" fillId="34" borderId="13" xfId="0" applyFont="1" applyFill="1" applyBorder="1" applyAlignment="1">
      <alignment horizontal="right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right" vertical="center" wrapText="1"/>
    </xf>
    <xf numFmtId="0" fontId="20" fillId="0" borderId="0" xfId="0" applyFont="1" applyAlignment="1">
      <alignment horizontal="left" vertical="center" wrapText="1" indent="1"/>
    </xf>
    <xf numFmtId="0" fontId="21" fillId="37" borderId="0" xfId="0" applyFont="1" applyFill="1" applyAlignment="1">
      <alignment horizontal="left" vertical="center" wrapText="1" indent="1"/>
    </xf>
    <xf numFmtId="0" fontId="21" fillId="36" borderId="0" xfId="0" applyFont="1" applyFill="1" applyAlignment="1">
      <alignment horizontal="left" vertical="center" wrapText="1" indent="1"/>
    </xf>
    <xf numFmtId="0" fontId="18" fillId="35" borderId="11" xfId="0" applyFont="1" applyFill="1" applyBorder="1" applyAlignment="1">
      <alignment horizontal="center" vertical="center" wrapText="1"/>
    </xf>
    <xf numFmtId="0" fontId="18" fillId="35" borderId="12" xfId="0" applyFont="1" applyFill="1" applyBorder="1" applyAlignment="1">
      <alignment horizontal="center" vertical="center" wrapText="1"/>
    </xf>
    <xf numFmtId="165" fontId="0" fillId="0" borderId="0" xfId="0" applyNumberFormat="1"/>
    <xf numFmtId="0" fontId="0" fillId="0" borderId="0" xfId="0"/>
    <xf numFmtId="0" fontId="20" fillId="0" borderId="0" xfId="0" applyFont="1" applyAlignment="1">
      <alignment horizontal="left" vertical="center" wrapText="1" indent="1"/>
    </xf>
    <xf numFmtId="0" fontId="21" fillId="37" borderId="0" xfId="0" applyFont="1" applyFill="1" applyAlignment="1">
      <alignment horizontal="left" vertical="center" wrapText="1" indent="1"/>
    </xf>
    <xf numFmtId="0" fontId="21" fillId="36" borderId="0" xfId="0" applyFont="1" applyFill="1" applyAlignment="1">
      <alignment horizontal="left" vertical="center" wrapText="1" indent="1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CF9A46-5E89-4404-88C6-AE82DD03ACD2}">
  <dimension ref="A1:N56"/>
  <sheetViews>
    <sheetView tabSelected="1" workbookViewId="0">
      <pane ySplit="1" topLeftCell="A18" activePane="bottomLeft" state="frozen"/>
      <selection pane="bottomLeft" activeCell="L1" sqref="L1:O1048576"/>
    </sheetView>
  </sheetViews>
  <sheetFormatPr defaultRowHeight="15" x14ac:dyDescent="0.25"/>
  <sheetData>
    <row r="1" spans="1:14" ht="21.75" customHeight="1" thickBot="1" x14ac:dyDescent="0.3">
      <c r="A1" s="1" t="s">
        <v>2</v>
      </c>
      <c r="B1" s="1" t="s">
        <v>3</v>
      </c>
      <c r="C1" s="1" t="s">
        <v>100</v>
      </c>
      <c r="D1" s="1" t="s">
        <v>4</v>
      </c>
      <c r="E1" s="1" t="s">
        <v>5</v>
      </c>
      <c r="F1" s="9" t="s">
        <v>6</v>
      </c>
      <c r="G1" s="10"/>
      <c r="H1" s="1" t="s">
        <v>7</v>
      </c>
      <c r="I1" s="1" t="s">
        <v>8</v>
      </c>
      <c r="J1" s="1" t="s">
        <v>9</v>
      </c>
      <c r="K1" s="1" t="s">
        <v>10</v>
      </c>
    </row>
    <row r="2" spans="1:14" ht="22.5" x14ac:dyDescent="0.25">
      <c r="A2" s="2" t="s">
        <v>11</v>
      </c>
      <c r="B2" s="2" t="s">
        <v>12</v>
      </c>
      <c r="C2" s="2" t="s">
        <v>13</v>
      </c>
      <c r="D2" s="2" t="s">
        <v>14</v>
      </c>
      <c r="E2" s="3">
        <v>467.83087599544933</v>
      </c>
      <c r="F2" s="3" t="s">
        <v>104</v>
      </c>
      <c r="G2" s="2" t="s">
        <v>15</v>
      </c>
      <c r="H2" s="3">
        <v>381.88</v>
      </c>
      <c r="I2" s="3">
        <v>381.88</v>
      </c>
      <c r="J2" s="2" t="s">
        <v>16</v>
      </c>
      <c r="K2" s="2" t="s">
        <v>17</v>
      </c>
      <c r="L2" s="11"/>
    </row>
    <row r="3" spans="1:14" ht="22.5" x14ac:dyDescent="0.25">
      <c r="A3" s="4" t="s">
        <v>11</v>
      </c>
      <c r="B3" s="4" t="s">
        <v>18</v>
      </c>
      <c r="C3" s="4" t="s">
        <v>19</v>
      </c>
      <c r="D3" s="4" t="s">
        <v>14</v>
      </c>
      <c r="E3" s="5">
        <v>13257324.880000001</v>
      </c>
      <c r="F3" s="5" t="s">
        <v>104</v>
      </c>
      <c r="G3" s="4" t="s">
        <v>15</v>
      </c>
      <c r="H3" s="5">
        <v>233292.9</v>
      </c>
      <c r="I3" s="5">
        <v>233292.9</v>
      </c>
      <c r="J3" s="4" t="s">
        <v>20</v>
      </c>
      <c r="K3" s="4" t="s">
        <v>17</v>
      </c>
      <c r="L3" s="11"/>
      <c r="M3" s="12"/>
      <c r="N3" s="12"/>
    </row>
    <row r="4" spans="1:14" ht="22.5" x14ac:dyDescent="0.25">
      <c r="A4" s="2" t="s">
        <v>11</v>
      </c>
      <c r="B4" s="2" t="s">
        <v>21</v>
      </c>
      <c r="C4" s="2" t="s">
        <v>22</v>
      </c>
      <c r="D4" s="2" t="s">
        <v>14</v>
      </c>
      <c r="E4" s="3">
        <v>7303.9240617577207</v>
      </c>
      <c r="F4" s="3" t="s">
        <v>104</v>
      </c>
      <c r="G4" s="2" t="s">
        <v>15</v>
      </c>
      <c r="H4" s="3">
        <v>27600.83</v>
      </c>
      <c r="I4" s="3">
        <v>27600.83</v>
      </c>
      <c r="J4" s="2" t="s">
        <v>23</v>
      </c>
      <c r="K4" s="2" t="s">
        <v>17</v>
      </c>
      <c r="L4" s="11"/>
      <c r="M4" s="12"/>
      <c r="N4" s="12"/>
    </row>
    <row r="5" spans="1:14" ht="22.5" x14ac:dyDescent="0.25">
      <c r="A5" s="4" t="s">
        <v>11</v>
      </c>
      <c r="B5" s="4" t="s">
        <v>24</v>
      </c>
      <c r="C5" s="4" t="s">
        <v>25</v>
      </c>
      <c r="D5" s="4" t="s">
        <v>14</v>
      </c>
      <c r="E5" s="5">
        <v>11297.483961248654</v>
      </c>
      <c r="F5" s="5" t="s">
        <v>105</v>
      </c>
      <c r="G5" s="4" t="s">
        <v>15</v>
      </c>
      <c r="H5" s="5">
        <v>11535.89</v>
      </c>
      <c r="I5" s="5">
        <v>11535.89</v>
      </c>
      <c r="J5" s="4" t="s">
        <v>26</v>
      </c>
      <c r="K5" s="4" t="s">
        <v>17</v>
      </c>
      <c r="L5" s="11"/>
      <c r="M5" s="12"/>
      <c r="N5" s="12"/>
    </row>
    <row r="6" spans="1:14" ht="22.5" x14ac:dyDescent="0.25">
      <c r="A6" s="2" t="s">
        <v>11</v>
      </c>
      <c r="B6" s="2" t="s">
        <v>27</v>
      </c>
      <c r="C6" s="2" t="s">
        <v>28</v>
      </c>
      <c r="D6" s="2" t="s">
        <v>14</v>
      </c>
      <c r="E6" s="3">
        <v>353757.95265306119</v>
      </c>
      <c r="F6" s="3" t="s">
        <v>105</v>
      </c>
      <c r="G6" s="2" t="s">
        <v>15</v>
      </c>
      <c r="H6" s="3">
        <v>64385.58</v>
      </c>
      <c r="I6" s="3">
        <v>64385.58</v>
      </c>
      <c r="J6" s="2" t="s">
        <v>29</v>
      </c>
      <c r="K6" s="2" t="s">
        <v>17</v>
      </c>
      <c r="L6" s="11"/>
      <c r="M6" s="12"/>
      <c r="N6" s="12"/>
    </row>
    <row r="7" spans="1:14" ht="22.5" x14ac:dyDescent="0.25">
      <c r="A7" s="2" t="s">
        <v>30</v>
      </c>
      <c r="B7" s="2" t="s">
        <v>31</v>
      </c>
      <c r="C7" s="2" t="s">
        <v>13</v>
      </c>
      <c r="D7" s="2" t="s">
        <v>14</v>
      </c>
      <c r="E7" s="3">
        <v>121.67314614830813</v>
      </c>
      <c r="F7" s="3" t="s">
        <v>104</v>
      </c>
      <c r="G7" s="2" t="s">
        <v>15</v>
      </c>
      <c r="H7" s="3">
        <v>127.29</v>
      </c>
      <c r="I7" s="3">
        <v>127.29</v>
      </c>
      <c r="J7" s="2" t="s">
        <v>16</v>
      </c>
      <c r="K7" s="2" t="s">
        <v>17</v>
      </c>
      <c r="L7" s="11"/>
      <c r="M7" s="12"/>
      <c r="N7" s="12"/>
    </row>
    <row r="8" spans="1:14" ht="22.5" x14ac:dyDescent="0.25">
      <c r="A8" s="4" t="s">
        <v>30</v>
      </c>
      <c r="B8" s="4" t="s">
        <v>12</v>
      </c>
      <c r="C8" s="4" t="s">
        <v>13</v>
      </c>
      <c r="D8" s="4" t="s">
        <v>14</v>
      </c>
      <c r="E8" s="5">
        <v>192.95232753785754</v>
      </c>
      <c r="F8" s="5" t="s">
        <v>104</v>
      </c>
      <c r="G8" s="4" t="s">
        <v>15</v>
      </c>
      <c r="H8" s="5">
        <v>250.76</v>
      </c>
      <c r="I8" s="5">
        <v>250.76</v>
      </c>
      <c r="J8" s="4" t="s">
        <v>16</v>
      </c>
      <c r="K8" s="4" t="s">
        <v>17</v>
      </c>
      <c r="L8" s="11"/>
      <c r="M8" s="12"/>
      <c r="N8" s="12"/>
    </row>
    <row r="9" spans="1:14" ht="22.5" x14ac:dyDescent="0.25">
      <c r="A9" s="2" t="s">
        <v>30</v>
      </c>
      <c r="B9" s="2" t="s">
        <v>12</v>
      </c>
      <c r="C9" s="2" t="s">
        <v>13</v>
      </c>
      <c r="D9" s="2" t="s">
        <v>14</v>
      </c>
      <c r="E9" s="3">
        <v>84.567362831858404</v>
      </c>
      <c r="F9" s="3" t="s">
        <v>104</v>
      </c>
      <c r="G9" s="2" t="s">
        <v>15</v>
      </c>
      <c r="H9" s="3">
        <v>127.29</v>
      </c>
      <c r="I9" s="3">
        <v>127.29</v>
      </c>
      <c r="J9" s="2" t="s">
        <v>16</v>
      </c>
      <c r="K9" s="2" t="s">
        <v>17</v>
      </c>
      <c r="L9" s="11"/>
      <c r="M9" s="12"/>
      <c r="N9" s="12"/>
    </row>
    <row r="10" spans="1:14" ht="22.5" x14ac:dyDescent="0.25">
      <c r="A10" s="4" t="s">
        <v>30</v>
      </c>
      <c r="B10" s="4" t="s">
        <v>18</v>
      </c>
      <c r="C10" s="4" t="s">
        <v>32</v>
      </c>
      <c r="D10" s="4" t="s">
        <v>14</v>
      </c>
      <c r="E10" s="5">
        <v>1072.1166471277843</v>
      </c>
      <c r="F10" s="5" t="s">
        <v>106</v>
      </c>
      <c r="G10" s="4" t="s">
        <v>15</v>
      </c>
      <c r="H10" s="5">
        <v>1315.62</v>
      </c>
      <c r="I10" s="5">
        <v>1315.62</v>
      </c>
      <c r="J10" s="4" t="s">
        <v>33</v>
      </c>
      <c r="K10" s="4" t="s">
        <v>17</v>
      </c>
      <c r="L10" s="11"/>
      <c r="M10" s="12"/>
      <c r="N10" s="12"/>
    </row>
    <row r="11" spans="1:14" ht="22.5" x14ac:dyDescent="0.25">
      <c r="A11" s="2" t="s">
        <v>30</v>
      </c>
      <c r="B11" s="2" t="s">
        <v>18</v>
      </c>
      <c r="C11" s="2" t="s">
        <v>34</v>
      </c>
      <c r="D11" s="2" t="s">
        <v>14</v>
      </c>
      <c r="E11" s="3">
        <v>18636.494737678855</v>
      </c>
      <c r="F11" s="3" t="s">
        <v>104</v>
      </c>
      <c r="G11" s="2" t="s">
        <v>15</v>
      </c>
      <c r="H11" s="3">
        <v>7182.36</v>
      </c>
      <c r="I11" s="3">
        <v>7182.36</v>
      </c>
      <c r="J11" s="2" t="s">
        <v>35</v>
      </c>
      <c r="K11" s="2" t="s">
        <v>17</v>
      </c>
      <c r="L11" s="11"/>
      <c r="M11" s="12"/>
      <c r="N11" s="12"/>
    </row>
    <row r="12" spans="1:14" ht="22.5" x14ac:dyDescent="0.25">
      <c r="A12" s="4" t="s">
        <v>30</v>
      </c>
      <c r="B12" s="4" t="s">
        <v>24</v>
      </c>
      <c r="C12" s="4" t="s">
        <v>36</v>
      </c>
      <c r="D12" s="4" t="s">
        <v>14</v>
      </c>
      <c r="E12" s="5">
        <v>53168.710817120635</v>
      </c>
      <c r="F12" s="5" t="s">
        <v>106</v>
      </c>
      <c r="G12" s="4" t="s">
        <v>15</v>
      </c>
      <c r="H12" s="5">
        <v>42510.25</v>
      </c>
      <c r="I12" s="5">
        <v>42510.25</v>
      </c>
      <c r="J12" s="4" t="s">
        <v>37</v>
      </c>
      <c r="K12" s="4" t="s">
        <v>17</v>
      </c>
      <c r="L12" s="11"/>
      <c r="M12" s="12"/>
      <c r="N12" s="12"/>
    </row>
    <row r="13" spans="1:14" ht="22.5" x14ac:dyDescent="0.25">
      <c r="A13" s="2" t="s">
        <v>30</v>
      </c>
      <c r="B13" s="2" t="s">
        <v>24</v>
      </c>
      <c r="C13" s="2" t="s">
        <v>38</v>
      </c>
      <c r="D13" s="2" t="s">
        <v>14</v>
      </c>
      <c r="E13" s="3">
        <v>1882859.2140000002</v>
      </c>
      <c r="F13" s="3" t="s">
        <v>107</v>
      </c>
      <c r="G13" s="2" t="s">
        <v>15</v>
      </c>
      <c r="H13" s="3">
        <v>106169.29</v>
      </c>
      <c r="I13" s="3">
        <v>106169.29</v>
      </c>
      <c r="J13" s="2" t="s">
        <v>39</v>
      </c>
      <c r="K13" s="2" t="s">
        <v>17</v>
      </c>
      <c r="L13" s="11"/>
      <c r="M13" s="12"/>
      <c r="N13" s="12"/>
    </row>
    <row r="14" spans="1:14" ht="22.5" x14ac:dyDescent="0.25">
      <c r="A14" s="4" t="s">
        <v>30</v>
      </c>
      <c r="B14" s="4" t="s">
        <v>24</v>
      </c>
      <c r="C14" s="4" t="s">
        <v>40</v>
      </c>
      <c r="D14" s="4" t="s">
        <v>14</v>
      </c>
      <c r="E14" s="5">
        <v>224152.58716981133</v>
      </c>
      <c r="F14" s="5" t="s">
        <v>104</v>
      </c>
      <c r="G14" s="4" t="s">
        <v>15</v>
      </c>
      <c r="H14" s="5">
        <v>63784.91</v>
      </c>
      <c r="I14" s="5">
        <v>63784.91</v>
      </c>
      <c r="J14" s="4" t="s">
        <v>41</v>
      </c>
      <c r="K14" s="4" t="s">
        <v>17</v>
      </c>
      <c r="L14" s="11"/>
      <c r="M14" s="12"/>
      <c r="N14" s="12"/>
    </row>
    <row r="15" spans="1:14" ht="22.5" x14ac:dyDescent="0.25">
      <c r="A15" s="2" t="s">
        <v>30</v>
      </c>
      <c r="B15" s="2" t="s">
        <v>24</v>
      </c>
      <c r="C15" s="2" t="s">
        <v>42</v>
      </c>
      <c r="D15" s="2" t="s">
        <v>14</v>
      </c>
      <c r="E15" s="3">
        <v>29669.4501791531</v>
      </c>
      <c r="F15" s="3" t="s">
        <v>104</v>
      </c>
      <c r="G15" s="2" t="s">
        <v>15</v>
      </c>
      <c r="H15" s="3">
        <v>26638.33</v>
      </c>
      <c r="I15" s="3">
        <v>26638.33</v>
      </c>
      <c r="J15" s="2" t="s">
        <v>43</v>
      </c>
      <c r="K15" s="2" t="s">
        <v>17</v>
      </c>
      <c r="L15" s="11"/>
      <c r="M15" s="12"/>
      <c r="N15" s="12"/>
    </row>
    <row r="16" spans="1:14" ht="22.5" x14ac:dyDescent="0.25">
      <c r="A16" s="4" t="s">
        <v>30</v>
      </c>
      <c r="B16" s="4" t="s">
        <v>24</v>
      </c>
      <c r="C16" s="4" t="s">
        <v>44</v>
      </c>
      <c r="D16" s="4" t="s">
        <v>14</v>
      </c>
      <c r="E16" s="5">
        <v>62199.986748091607</v>
      </c>
      <c r="F16" s="5" t="s">
        <v>108</v>
      </c>
      <c r="G16" s="4" t="s">
        <v>15</v>
      </c>
      <c r="H16" s="5">
        <v>46425.37</v>
      </c>
      <c r="I16" s="5">
        <v>46425.37</v>
      </c>
      <c r="J16" s="4" t="s">
        <v>45</v>
      </c>
      <c r="K16" s="4" t="s">
        <v>17</v>
      </c>
      <c r="L16" s="11"/>
      <c r="M16" s="12"/>
      <c r="N16" s="12"/>
    </row>
    <row r="17" spans="1:14" ht="22.5" x14ac:dyDescent="0.25">
      <c r="A17" s="2" t="s">
        <v>30</v>
      </c>
      <c r="B17" s="2" t="s">
        <v>46</v>
      </c>
      <c r="C17" s="2" t="s">
        <v>47</v>
      </c>
      <c r="D17" s="2" t="s">
        <v>14</v>
      </c>
      <c r="E17" s="3">
        <v>8038.3042405063288</v>
      </c>
      <c r="F17" s="3" t="s">
        <v>109</v>
      </c>
      <c r="G17" s="2" t="s">
        <v>15</v>
      </c>
      <c r="H17" s="3">
        <v>21271.91</v>
      </c>
      <c r="I17" s="3">
        <v>21271.91</v>
      </c>
      <c r="J17" s="2" t="s">
        <v>48</v>
      </c>
      <c r="K17" s="2" t="s">
        <v>17</v>
      </c>
      <c r="L17" s="11"/>
      <c r="M17" s="12"/>
      <c r="N17" s="12"/>
    </row>
    <row r="18" spans="1:14" ht="22.5" x14ac:dyDescent="0.25">
      <c r="A18" s="4" t="s">
        <v>30</v>
      </c>
      <c r="B18" s="4" t="s">
        <v>46</v>
      </c>
      <c r="C18" s="4" t="s">
        <v>49</v>
      </c>
      <c r="D18" s="4" t="s">
        <v>14</v>
      </c>
      <c r="E18" s="5">
        <v>191389.3262184874</v>
      </c>
      <c r="F18" s="5" t="s">
        <v>104</v>
      </c>
      <c r="G18" s="4" t="s">
        <v>15</v>
      </c>
      <c r="H18" s="5">
        <v>588.242912400455</v>
      </c>
      <c r="I18" s="5">
        <v>588.242912400455</v>
      </c>
      <c r="J18" s="4" t="s">
        <v>50</v>
      </c>
      <c r="K18" s="4" t="s">
        <v>17</v>
      </c>
      <c r="L18" s="11"/>
      <c r="M18" s="12"/>
      <c r="N18" s="12"/>
    </row>
    <row r="19" spans="1:14" ht="22.5" x14ac:dyDescent="0.25">
      <c r="A19" s="2" t="s">
        <v>30</v>
      </c>
      <c r="B19" s="2" t="s">
        <v>46</v>
      </c>
      <c r="C19" s="2" t="s">
        <v>51</v>
      </c>
      <c r="D19" s="2" t="s">
        <v>14</v>
      </c>
      <c r="E19" s="3">
        <v>21356.217418419143</v>
      </c>
      <c r="F19" s="3" t="s">
        <v>109</v>
      </c>
      <c r="G19" s="2" t="s">
        <v>15</v>
      </c>
      <c r="H19" s="3">
        <v>15863917.199999999</v>
      </c>
      <c r="I19" s="3">
        <v>15863917.199999999</v>
      </c>
      <c r="J19" s="2" t="s">
        <v>52</v>
      </c>
      <c r="K19" s="2" t="s">
        <v>17</v>
      </c>
      <c r="L19" s="11"/>
      <c r="M19" s="12"/>
      <c r="N19" s="12"/>
    </row>
    <row r="20" spans="1:14" ht="22.5" x14ac:dyDescent="0.25">
      <c r="A20" s="4" t="s">
        <v>30</v>
      </c>
      <c r="B20" s="4" t="s">
        <v>53</v>
      </c>
      <c r="C20" s="4" t="s">
        <v>54</v>
      </c>
      <c r="D20" s="4" t="s">
        <v>14</v>
      </c>
      <c r="E20" s="5">
        <v>20654.260039106142</v>
      </c>
      <c r="F20" s="5" t="s">
        <v>108</v>
      </c>
      <c r="G20" s="4" t="s">
        <v>15</v>
      </c>
      <c r="H20" s="5">
        <v>8063.9004513064147</v>
      </c>
      <c r="I20" s="5">
        <v>8063.9004513064147</v>
      </c>
      <c r="J20" s="4" t="s">
        <v>55</v>
      </c>
      <c r="K20" s="4" t="s">
        <v>17</v>
      </c>
      <c r="L20" s="11"/>
      <c r="M20" s="12"/>
      <c r="N20" s="12"/>
    </row>
    <row r="21" spans="1:14" ht="22.5" x14ac:dyDescent="0.25">
      <c r="A21" s="2" t="s">
        <v>56</v>
      </c>
      <c r="B21" s="2" t="s">
        <v>57</v>
      </c>
      <c r="C21" s="2" t="s">
        <v>58</v>
      </c>
      <c r="D21" s="2" t="s">
        <v>14</v>
      </c>
      <c r="E21" s="3">
        <v>42472.420506164824</v>
      </c>
      <c r="F21" s="3" t="s">
        <v>110</v>
      </c>
      <c r="G21" s="2" t="s">
        <v>15</v>
      </c>
      <c r="H21" s="3">
        <v>12013.965096878363</v>
      </c>
      <c r="I21" s="3">
        <v>12013.965096878363</v>
      </c>
      <c r="J21" s="2" t="s">
        <v>59</v>
      </c>
      <c r="K21" s="2" t="s">
        <v>17</v>
      </c>
      <c r="L21" s="11"/>
      <c r="M21" s="12"/>
      <c r="N21" s="12"/>
    </row>
    <row r="22" spans="1:14" ht="22.5" x14ac:dyDescent="0.25">
      <c r="A22" s="2" t="s">
        <v>60</v>
      </c>
      <c r="B22" s="2" t="s">
        <v>61</v>
      </c>
      <c r="C22" s="2" t="s">
        <v>62</v>
      </c>
      <c r="D22" s="2" t="s">
        <v>14</v>
      </c>
      <c r="E22" s="3">
        <v>130779.25291828794</v>
      </c>
      <c r="F22" s="3" t="s">
        <v>111</v>
      </c>
      <c r="G22" s="2" t="s">
        <v>15</v>
      </c>
      <c r="H22" s="3">
        <v>375801.54857142858</v>
      </c>
      <c r="I22" s="3">
        <v>375801.54857142858</v>
      </c>
      <c r="J22" s="2" t="s">
        <v>62</v>
      </c>
      <c r="K22" s="2" t="s">
        <v>17</v>
      </c>
      <c r="L22" s="11"/>
      <c r="M22" s="12"/>
      <c r="N22" s="12"/>
    </row>
    <row r="23" spans="1:14" ht="22.5" x14ac:dyDescent="0.25">
      <c r="A23" s="4" t="s">
        <v>60</v>
      </c>
      <c r="B23" s="4" t="s">
        <v>63</v>
      </c>
      <c r="C23" s="4" t="s">
        <v>62</v>
      </c>
      <c r="D23" s="4" t="s">
        <v>14</v>
      </c>
      <c r="E23" s="5">
        <v>2412.1567800000003</v>
      </c>
      <c r="F23" s="5" t="s">
        <v>111</v>
      </c>
      <c r="G23" s="4" t="s">
        <v>15</v>
      </c>
      <c r="H23" s="5">
        <v>153.04125269978402</v>
      </c>
      <c r="I23" s="5">
        <v>153.04125269978402</v>
      </c>
      <c r="J23" s="4" t="s">
        <v>62</v>
      </c>
      <c r="K23" s="4" t="s">
        <v>17</v>
      </c>
      <c r="L23" s="11"/>
      <c r="M23" s="12"/>
      <c r="N23" s="12"/>
    </row>
    <row r="24" spans="1:14" ht="22.5" x14ac:dyDescent="0.25">
      <c r="A24" s="2" t="s">
        <v>60</v>
      </c>
      <c r="B24" s="2" t="s">
        <v>64</v>
      </c>
      <c r="C24" s="2" t="s">
        <v>65</v>
      </c>
      <c r="D24" s="2" t="s">
        <v>14</v>
      </c>
      <c r="E24" s="3">
        <v>24509.530950570344</v>
      </c>
      <c r="F24" s="3" t="s">
        <v>112</v>
      </c>
      <c r="G24" s="2" t="s">
        <v>15</v>
      </c>
      <c r="H24" s="3">
        <v>242.60291643297813</v>
      </c>
      <c r="I24" s="3">
        <v>242.60291643297813</v>
      </c>
      <c r="J24" s="2" t="s">
        <v>65</v>
      </c>
      <c r="K24" s="2" t="s">
        <v>17</v>
      </c>
      <c r="L24" s="11"/>
      <c r="M24" s="12"/>
      <c r="N24" s="12"/>
    </row>
    <row r="25" spans="1:14" ht="22.5" x14ac:dyDescent="0.25">
      <c r="A25" s="4" t="s">
        <v>60</v>
      </c>
      <c r="B25" s="4" t="s">
        <v>66</v>
      </c>
      <c r="C25" s="4" t="s">
        <v>65</v>
      </c>
      <c r="D25" s="4" t="s">
        <v>14</v>
      </c>
      <c r="E25" s="5">
        <v>138301.05630177513</v>
      </c>
      <c r="F25" s="5" t="s">
        <v>112</v>
      </c>
      <c r="G25" s="4" t="s">
        <v>15</v>
      </c>
      <c r="H25" s="5">
        <v>106.3378407079646</v>
      </c>
      <c r="I25" s="5">
        <v>106.3378407079646</v>
      </c>
      <c r="J25" s="4" t="s">
        <v>65</v>
      </c>
      <c r="K25" s="4" t="s">
        <v>17</v>
      </c>
      <c r="L25" s="11"/>
      <c r="M25" s="12"/>
      <c r="N25" s="12"/>
    </row>
    <row r="26" spans="1:14" ht="22.5" x14ac:dyDescent="0.25">
      <c r="A26" s="2" t="s">
        <v>60</v>
      </c>
      <c r="B26" s="2" t="s">
        <v>67</v>
      </c>
      <c r="C26" s="2" t="s">
        <v>68</v>
      </c>
      <c r="D26" s="2" t="s">
        <v>14</v>
      </c>
      <c r="E26" s="3">
        <v>209.31604395604398</v>
      </c>
      <c r="F26" s="3" t="s">
        <v>113</v>
      </c>
      <c r="G26" s="2" t="s">
        <v>15</v>
      </c>
      <c r="H26" s="3">
        <v>1281.6884173505273</v>
      </c>
      <c r="I26" s="3">
        <v>1281.6884173505273</v>
      </c>
      <c r="J26" s="2" t="s">
        <v>68</v>
      </c>
      <c r="K26" s="2" t="s">
        <v>17</v>
      </c>
      <c r="L26" s="11"/>
      <c r="M26" s="12"/>
      <c r="N26" s="12"/>
    </row>
    <row r="27" spans="1:14" ht="22.5" x14ac:dyDescent="0.25">
      <c r="A27" s="4" t="s">
        <v>60</v>
      </c>
      <c r="B27" s="4" t="s">
        <v>69</v>
      </c>
      <c r="C27" s="4" t="s">
        <v>62</v>
      </c>
      <c r="D27" s="4" t="s">
        <v>14</v>
      </c>
      <c r="E27" s="5">
        <v>38866.639676113358</v>
      </c>
      <c r="F27" s="5" t="s">
        <v>112</v>
      </c>
      <c r="G27" s="4" t="s">
        <v>15</v>
      </c>
      <c r="H27" s="5">
        <v>22300.713958664546</v>
      </c>
      <c r="I27" s="5">
        <v>22300.713958664546</v>
      </c>
      <c r="J27" s="4" t="s">
        <v>62</v>
      </c>
      <c r="K27" s="4" t="s">
        <v>17</v>
      </c>
      <c r="L27" s="11"/>
      <c r="M27" s="12"/>
      <c r="N27" s="12"/>
    </row>
    <row r="28" spans="1:14" ht="22.5" x14ac:dyDescent="0.25">
      <c r="A28" s="2" t="s">
        <v>60</v>
      </c>
      <c r="B28" s="2" t="s">
        <v>33</v>
      </c>
      <c r="C28" s="2" t="s">
        <v>62</v>
      </c>
      <c r="D28" s="2" t="s">
        <v>14</v>
      </c>
      <c r="E28" s="3">
        <v>87316.419732441471</v>
      </c>
      <c r="F28" s="3" t="s">
        <v>112</v>
      </c>
      <c r="G28" s="2" t="s">
        <v>15</v>
      </c>
      <c r="H28" s="3">
        <v>56503.896498054484</v>
      </c>
      <c r="I28" s="3">
        <v>56503.896498054484</v>
      </c>
      <c r="J28" s="2" t="s">
        <v>62</v>
      </c>
      <c r="K28" s="2" t="s">
        <v>17</v>
      </c>
      <c r="L28" s="11"/>
      <c r="M28" s="12"/>
      <c r="N28" s="12"/>
    </row>
    <row r="29" spans="1:14" ht="22.5" x14ac:dyDescent="0.25">
      <c r="A29" s="4" t="s">
        <v>60</v>
      </c>
      <c r="B29" s="4" t="s">
        <v>16</v>
      </c>
      <c r="C29" s="4" t="s">
        <v>70</v>
      </c>
      <c r="D29" s="4" t="s">
        <v>14</v>
      </c>
      <c r="E29" s="5">
        <v>237197.97432432431</v>
      </c>
      <c r="F29" s="5" t="s">
        <v>113</v>
      </c>
      <c r="G29" s="4" t="s">
        <v>15</v>
      </c>
      <c r="H29" s="5">
        <v>1999016.0602857142</v>
      </c>
      <c r="I29" s="5">
        <v>1999016.0602857142</v>
      </c>
      <c r="J29" s="4" t="s">
        <v>70</v>
      </c>
      <c r="K29" s="4" t="s">
        <v>17</v>
      </c>
      <c r="L29" s="11"/>
      <c r="M29" s="12"/>
      <c r="N29" s="12"/>
    </row>
    <row r="30" spans="1:14" ht="22.5" x14ac:dyDescent="0.25">
      <c r="A30" s="2" t="s">
        <v>60</v>
      </c>
      <c r="B30" s="2" t="s">
        <v>16</v>
      </c>
      <c r="C30" s="2" t="s">
        <v>65</v>
      </c>
      <c r="D30" s="2" t="s">
        <v>14</v>
      </c>
      <c r="E30" s="3">
        <v>602753.79272727272</v>
      </c>
      <c r="F30" s="3" t="s">
        <v>113</v>
      </c>
      <c r="G30" s="2" t="s">
        <v>15</v>
      </c>
      <c r="H30" s="3">
        <v>238290.79584905662</v>
      </c>
      <c r="I30" s="3">
        <v>238290.79584905662</v>
      </c>
      <c r="J30" s="2" t="s">
        <v>65</v>
      </c>
      <c r="K30" s="2" t="s">
        <v>17</v>
      </c>
      <c r="L30" s="11"/>
      <c r="M30" s="12"/>
      <c r="N30" s="12"/>
    </row>
    <row r="31" spans="1:14" ht="22.5" x14ac:dyDescent="0.25">
      <c r="A31" s="4" t="s">
        <v>60</v>
      </c>
      <c r="B31" s="4" t="s">
        <v>71</v>
      </c>
      <c r="C31" s="4" t="s">
        <v>70</v>
      </c>
      <c r="D31" s="4" t="s">
        <v>14</v>
      </c>
      <c r="E31" s="5">
        <v>35063.68863955119</v>
      </c>
      <c r="F31" s="5" t="s">
        <v>114</v>
      </c>
      <c r="G31" s="4" t="s">
        <v>15</v>
      </c>
      <c r="H31" s="5">
        <v>31540.823957654728</v>
      </c>
      <c r="I31" s="5">
        <v>31540.823957654728</v>
      </c>
      <c r="J31" s="4" t="s">
        <v>70</v>
      </c>
      <c r="K31" s="4" t="s">
        <v>17</v>
      </c>
      <c r="L31" s="11"/>
      <c r="M31" s="12"/>
      <c r="N31" s="12"/>
    </row>
    <row r="32" spans="1:14" ht="22.5" x14ac:dyDescent="0.25">
      <c r="A32" s="2" t="s">
        <v>60</v>
      </c>
      <c r="B32" s="2" t="s">
        <v>24</v>
      </c>
      <c r="C32" s="2" t="s">
        <v>65</v>
      </c>
      <c r="D32" s="2" t="s">
        <v>14</v>
      </c>
      <c r="E32" s="3">
        <v>37230.12482993197</v>
      </c>
      <c r="F32" s="3" t="s">
        <v>112</v>
      </c>
      <c r="G32" s="2" t="s">
        <v>15</v>
      </c>
      <c r="H32" s="3">
        <v>66058.69441221375</v>
      </c>
      <c r="I32" s="3">
        <v>66058.69441221375</v>
      </c>
      <c r="J32" s="2" t="s">
        <v>65</v>
      </c>
      <c r="K32" s="2" t="s">
        <v>17</v>
      </c>
      <c r="L32" s="11"/>
      <c r="M32" s="12"/>
      <c r="N32" s="12"/>
    </row>
    <row r="33" spans="1:14" ht="22.5" x14ac:dyDescent="0.25">
      <c r="A33" s="4" t="s">
        <v>60</v>
      </c>
      <c r="B33" s="4" t="s">
        <v>24</v>
      </c>
      <c r="C33" s="4" t="s">
        <v>72</v>
      </c>
      <c r="D33" s="4" t="s">
        <v>14</v>
      </c>
      <c r="E33" s="5">
        <v>23953.786620370371</v>
      </c>
      <c r="F33" s="5" t="s">
        <v>115</v>
      </c>
      <c r="G33" s="4" t="s">
        <v>15</v>
      </c>
      <c r="H33" s="5">
        <v>8549.1537025316447</v>
      </c>
      <c r="I33" s="5">
        <v>8549.1537025316447</v>
      </c>
      <c r="J33" s="4" t="s">
        <v>72</v>
      </c>
      <c r="K33" s="4" t="s">
        <v>17</v>
      </c>
      <c r="L33" s="11"/>
      <c r="M33" s="12"/>
      <c r="N33" s="12"/>
    </row>
    <row r="34" spans="1:14" ht="22.5" x14ac:dyDescent="0.25">
      <c r="A34" s="2" t="s">
        <v>60</v>
      </c>
      <c r="B34" s="2" t="s">
        <v>24</v>
      </c>
      <c r="C34" s="2" t="s">
        <v>62</v>
      </c>
      <c r="D34" s="2" t="s">
        <v>14</v>
      </c>
      <c r="E34" s="3">
        <v>14295.005117794486</v>
      </c>
      <c r="F34" s="3" t="s">
        <v>113</v>
      </c>
      <c r="G34" s="2" t="s">
        <v>15</v>
      </c>
      <c r="H34" s="3">
        <v>203355.6301680672</v>
      </c>
      <c r="I34" s="3">
        <v>203355.6301680672</v>
      </c>
      <c r="J34" s="2" t="s">
        <v>62</v>
      </c>
      <c r="K34" s="2" t="s">
        <v>17</v>
      </c>
      <c r="L34" s="11"/>
      <c r="M34" s="12"/>
      <c r="N34" s="12"/>
    </row>
    <row r="35" spans="1:14" ht="22.5" x14ac:dyDescent="0.25">
      <c r="A35" s="4" t="s">
        <v>60</v>
      </c>
      <c r="B35" s="4" t="s">
        <v>46</v>
      </c>
      <c r="C35" s="4" t="s">
        <v>65</v>
      </c>
      <c r="D35" s="4" t="s">
        <v>14</v>
      </c>
      <c r="E35" s="5">
        <v>4782.9437249283665</v>
      </c>
      <c r="F35" s="5" t="s">
        <v>113</v>
      </c>
      <c r="G35" s="4" t="s">
        <v>15</v>
      </c>
      <c r="H35" s="5">
        <v>22713.445975344453</v>
      </c>
      <c r="I35" s="5">
        <v>22713.445975344453</v>
      </c>
      <c r="J35" s="4" t="s">
        <v>65</v>
      </c>
      <c r="K35" s="4" t="s">
        <v>17</v>
      </c>
      <c r="L35" s="11"/>
      <c r="M35" s="12"/>
      <c r="N35" s="12"/>
    </row>
    <row r="36" spans="1:14" ht="22.5" x14ac:dyDescent="0.25">
      <c r="A36" s="2" t="s">
        <v>73</v>
      </c>
      <c r="B36" s="2" t="s">
        <v>74</v>
      </c>
      <c r="C36" s="2" t="s">
        <v>75</v>
      </c>
      <c r="D36" s="2" t="s">
        <v>14</v>
      </c>
      <c r="E36" s="3">
        <v>52119.129438717071</v>
      </c>
      <c r="F36" s="3" t="s">
        <v>116</v>
      </c>
      <c r="G36" s="2" t="s">
        <v>15</v>
      </c>
      <c r="H36" s="3">
        <v>21902.069011173182</v>
      </c>
      <c r="I36" s="3">
        <v>21902.069011173182</v>
      </c>
      <c r="J36" s="2" t="s">
        <v>75</v>
      </c>
      <c r="K36" s="2" t="s">
        <v>17</v>
      </c>
      <c r="L36" s="11"/>
      <c r="M36" s="12"/>
      <c r="N36" s="12"/>
    </row>
    <row r="37" spans="1:14" ht="22.5" x14ac:dyDescent="0.25">
      <c r="A37" s="2" t="s">
        <v>76</v>
      </c>
      <c r="B37" s="2" t="s">
        <v>77</v>
      </c>
      <c r="C37" s="2" t="s">
        <v>78</v>
      </c>
      <c r="D37" s="2" t="s">
        <v>14</v>
      </c>
      <c r="E37" s="3">
        <v>45.797619047619044</v>
      </c>
      <c r="F37" s="3" t="s">
        <v>117</v>
      </c>
      <c r="G37" s="2" t="s">
        <v>15</v>
      </c>
      <c r="H37" s="3">
        <v>52555.763880597013</v>
      </c>
      <c r="I37" s="3">
        <v>52555.763880597013</v>
      </c>
      <c r="J37" s="2" t="s">
        <v>78</v>
      </c>
      <c r="K37" s="2" t="s">
        <v>17</v>
      </c>
      <c r="L37" s="11"/>
      <c r="M37" s="12"/>
      <c r="N37" s="12"/>
    </row>
    <row r="38" spans="1:14" ht="22.5" x14ac:dyDescent="0.25">
      <c r="A38" s="4" t="s">
        <v>76</v>
      </c>
      <c r="B38" s="4" t="s">
        <v>79</v>
      </c>
      <c r="C38" s="4" t="s">
        <v>78</v>
      </c>
      <c r="D38" s="4" t="s">
        <v>14</v>
      </c>
      <c r="E38" s="5">
        <v>26164.277968750001</v>
      </c>
      <c r="F38" s="5" t="s">
        <v>118</v>
      </c>
      <c r="G38" s="4" t="s">
        <v>15</v>
      </c>
      <c r="H38" s="5">
        <v>228861.68809338519</v>
      </c>
      <c r="I38" s="5">
        <v>228861.68809338519</v>
      </c>
      <c r="J38" s="4" t="s">
        <v>78</v>
      </c>
      <c r="K38" s="4" t="s">
        <v>17</v>
      </c>
      <c r="L38" s="11"/>
      <c r="M38" s="12"/>
      <c r="N38" s="12"/>
    </row>
    <row r="39" spans="1:14" ht="22.5" x14ac:dyDescent="0.25">
      <c r="A39" s="2" t="s">
        <v>76</v>
      </c>
      <c r="B39" s="2" t="s">
        <v>80</v>
      </c>
      <c r="C39" s="2" t="s">
        <v>81</v>
      </c>
      <c r="D39" s="2" t="s">
        <v>14</v>
      </c>
      <c r="E39" s="3">
        <v>5268.738607705779</v>
      </c>
      <c r="F39" s="3" t="s">
        <v>119</v>
      </c>
      <c r="G39" s="2" t="s">
        <v>15</v>
      </c>
      <c r="H39" s="3">
        <v>3707.3123400000004</v>
      </c>
      <c r="I39" s="3">
        <v>3707.3123400000004</v>
      </c>
      <c r="J39" s="2" t="s">
        <v>81</v>
      </c>
      <c r="K39" s="2" t="s">
        <v>17</v>
      </c>
      <c r="L39" s="11"/>
      <c r="M39" s="12"/>
      <c r="N39" s="12"/>
    </row>
    <row r="40" spans="1:14" ht="33.75" x14ac:dyDescent="0.25">
      <c r="A40" s="2" t="s">
        <v>97</v>
      </c>
      <c r="B40" s="2" t="s">
        <v>98</v>
      </c>
      <c r="C40" s="2" t="s">
        <v>99</v>
      </c>
      <c r="D40" s="2" t="s">
        <v>14</v>
      </c>
      <c r="E40" s="3">
        <v>14649.7572</v>
      </c>
      <c r="F40" s="3" t="s">
        <v>113</v>
      </c>
      <c r="G40" s="2"/>
      <c r="H40" s="3">
        <v>33150.477832699624</v>
      </c>
      <c r="I40" s="3">
        <v>33150.477832699624</v>
      </c>
      <c r="J40" s="2" t="s">
        <v>98</v>
      </c>
      <c r="K40" s="2"/>
      <c r="L40" s="11"/>
      <c r="M40" s="12"/>
      <c r="N40" s="12"/>
    </row>
    <row r="41" spans="1:14" x14ac:dyDescent="0.25">
      <c r="H41">
        <v>186983.77056213017</v>
      </c>
      <c r="I41">
        <v>186983.77056213017</v>
      </c>
    </row>
    <row r="42" spans="1:14" x14ac:dyDescent="0.25">
      <c r="H42">
        <v>253.75568812140241</v>
      </c>
      <c r="I42">
        <v>253.75568812140241</v>
      </c>
    </row>
    <row r="43" spans="1:14" x14ac:dyDescent="0.25">
      <c r="H43">
        <v>46934.502024291498</v>
      </c>
      <c r="I43">
        <v>46934.502024291498</v>
      </c>
    </row>
    <row r="44" spans="1:14" x14ac:dyDescent="0.25">
      <c r="H44">
        <v>104939.24622073579</v>
      </c>
      <c r="I44">
        <v>104939.24622073579</v>
      </c>
    </row>
    <row r="45" spans="1:14" x14ac:dyDescent="0.25">
      <c r="H45">
        <v>281058.29702702706</v>
      </c>
      <c r="I45">
        <v>281058.29702702706</v>
      </c>
    </row>
    <row r="46" spans="1:14" x14ac:dyDescent="0.25">
      <c r="H46">
        <v>714208.91454545455</v>
      </c>
      <c r="I46">
        <v>714208.91454545455</v>
      </c>
    </row>
    <row r="47" spans="1:14" x14ac:dyDescent="0.25">
      <c r="H47">
        <v>38304.165497896211</v>
      </c>
      <c r="I47">
        <v>38304.165497896211</v>
      </c>
    </row>
    <row r="48" spans="1:14" x14ac:dyDescent="0.25">
      <c r="H48">
        <v>39758.998554421771</v>
      </c>
      <c r="I48">
        <v>39758.998554421771</v>
      </c>
    </row>
    <row r="49" spans="8:9" x14ac:dyDescent="0.25">
      <c r="H49">
        <v>25489.513842592591</v>
      </c>
      <c r="I49">
        <v>25489.513842592591</v>
      </c>
    </row>
    <row r="50" spans="8:9" x14ac:dyDescent="0.25">
      <c r="H50">
        <v>15256.075503759397</v>
      </c>
      <c r="I50">
        <v>15256.075503759397</v>
      </c>
    </row>
    <row r="51" spans="8:9" x14ac:dyDescent="0.25">
      <c r="H51">
        <v>5101.6948997134668</v>
      </c>
      <c r="I51">
        <v>5101.6948997134668</v>
      </c>
    </row>
    <row r="52" spans="8:9" x14ac:dyDescent="0.25">
      <c r="H52">
        <v>93852.750973654067</v>
      </c>
      <c r="I52">
        <v>93852.750973654067</v>
      </c>
    </row>
    <row r="53" spans="8:9" x14ac:dyDescent="0.25">
      <c r="H53">
        <v>58.737637362637358</v>
      </c>
      <c r="I53">
        <v>58.737637362637358</v>
      </c>
    </row>
    <row r="54" spans="8:9" x14ac:dyDescent="0.25">
      <c r="H54">
        <v>33603.475078124997</v>
      </c>
      <c r="I54">
        <v>33603.475078124997</v>
      </c>
    </row>
    <row r="55" spans="8:9" x14ac:dyDescent="0.25">
      <c r="H55">
        <v>6640.2063134851142</v>
      </c>
      <c r="I55">
        <v>6640.2063134851142</v>
      </c>
    </row>
    <row r="56" spans="8:9" x14ac:dyDescent="0.25">
      <c r="H56">
        <v>14649.7572</v>
      </c>
      <c r="I56">
        <v>14649.7572</v>
      </c>
    </row>
  </sheetData>
  <mergeCells count="1">
    <mergeCell ref="F1:G1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5E9A1F-957C-4499-B818-B2ABB02E34B3}">
  <dimension ref="A1:M4"/>
  <sheetViews>
    <sheetView workbookViewId="0">
      <selection activeCell="J1" sqref="J1:N1048576"/>
    </sheetView>
  </sheetViews>
  <sheetFormatPr defaultRowHeight="15" x14ac:dyDescent="0.25"/>
  <cols>
    <col min="1" max="1" width="27" customWidth="1"/>
    <col min="3" max="3" width="12.28515625" customWidth="1"/>
    <col min="4" max="4" width="12.5703125" customWidth="1"/>
    <col min="6" max="6" width="13.5703125" customWidth="1"/>
    <col min="7" max="7" width="15" customWidth="1"/>
    <col min="8" max="8" width="12.140625" customWidth="1"/>
    <col min="9" max="9" width="15" customWidth="1"/>
  </cols>
  <sheetData>
    <row r="1" spans="1:13" ht="45" x14ac:dyDescent="0.25">
      <c r="A1" s="6" t="s">
        <v>87</v>
      </c>
      <c r="B1" s="6" t="s">
        <v>82</v>
      </c>
      <c r="C1" s="6" t="s">
        <v>83</v>
      </c>
      <c r="D1" s="6" t="s">
        <v>123</v>
      </c>
      <c r="E1" s="6" t="s">
        <v>101</v>
      </c>
      <c r="F1" s="6" t="s">
        <v>85</v>
      </c>
      <c r="G1" s="6" t="s">
        <v>102</v>
      </c>
      <c r="H1" s="6" t="s">
        <v>103</v>
      </c>
      <c r="I1" s="6" t="s">
        <v>86</v>
      </c>
    </row>
    <row r="2" spans="1:13" x14ac:dyDescent="0.25">
      <c r="A2" s="7" t="s">
        <v>92</v>
      </c>
      <c r="B2" s="7" t="s">
        <v>88</v>
      </c>
      <c r="C2" s="7">
        <v>0.66</v>
      </c>
      <c r="D2" s="7">
        <v>294.5</v>
      </c>
      <c r="E2" s="7">
        <v>5</v>
      </c>
      <c r="F2" s="7">
        <v>176700</v>
      </c>
      <c r="G2" s="7" t="s">
        <v>89</v>
      </c>
      <c r="H2" s="7">
        <v>0</v>
      </c>
      <c r="I2" s="7">
        <v>0</v>
      </c>
      <c r="J2" s="11"/>
      <c r="K2" s="11"/>
    </row>
    <row r="3" spans="1:13" ht="24" x14ac:dyDescent="0.25">
      <c r="A3" s="8" t="s">
        <v>93</v>
      </c>
      <c r="B3" s="8" t="s">
        <v>90</v>
      </c>
      <c r="C3" s="8">
        <v>2.16</v>
      </c>
      <c r="D3" s="8">
        <v>25.653278236914602</v>
      </c>
      <c r="E3" s="8">
        <v>6</v>
      </c>
      <c r="F3" s="8">
        <v>703900.3015426998</v>
      </c>
      <c r="G3" s="8" t="s">
        <v>94</v>
      </c>
      <c r="H3" s="8">
        <v>0</v>
      </c>
      <c r="I3" s="8">
        <v>49.5</v>
      </c>
      <c r="J3" s="11"/>
      <c r="K3" s="11"/>
      <c r="L3" s="12"/>
      <c r="M3" s="12"/>
    </row>
    <row r="4" spans="1:13" x14ac:dyDescent="0.25">
      <c r="A4" s="7" t="s">
        <v>95</v>
      </c>
      <c r="B4" s="7" t="s">
        <v>91</v>
      </c>
      <c r="C4" s="7">
        <v>3.73</v>
      </c>
      <c r="D4" s="7">
        <v>5.3720930232558137</v>
      </c>
      <c r="E4" s="7">
        <v>85</v>
      </c>
      <c r="F4" s="7">
        <v>11754.139534883721</v>
      </c>
      <c r="G4" s="7" t="s">
        <v>96</v>
      </c>
      <c r="H4" s="7">
        <v>0</v>
      </c>
      <c r="I4" s="7">
        <v>33.83</v>
      </c>
      <c r="J4" s="11"/>
      <c r="K4" s="11"/>
      <c r="L4" s="12"/>
      <c r="M4" s="12"/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60E9A1-57CC-405F-9A54-F8F4C7F395DE}">
  <dimension ref="A1:E3"/>
  <sheetViews>
    <sheetView workbookViewId="0">
      <selection activeCell="E3" sqref="E3"/>
    </sheetView>
  </sheetViews>
  <sheetFormatPr defaultRowHeight="15" x14ac:dyDescent="0.25"/>
  <cols>
    <col min="1" max="1" width="15" customWidth="1"/>
    <col min="2" max="2" width="26.85546875" customWidth="1"/>
    <col min="3" max="3" width="14.28515625" customWidth="1"/>
    <col min="4" max="4" width="22.140625" customWidth="1"/>
    <col min="5" max="5" width="19.85546875" customWidth="1"/>
  </cols>
  <sheetData>
    <row r="1" spans="1:5" ht="30" x14ac:dyDescent="0.25">
      <c r="A1" s="13" t="s">
        <v>0</v>
      </c>
      <c r="B1" s="13" t="s">
        <v>82</v>
      </c>
      <c r="C1" s="13" t="s">
        <v>123</v>
      </c>
      <c r="D1" s="13" t="s">
        <v>84</v>
      </c>
      <c r="E1" s="13" t="s">
        <v>85</v>
      </c>
    </row>
    <row r="2" spans="1:5" ht="24" x14ac:dyDescent="0.25">
      <c r="A2" s="14" t="s">
        <v>120</v>
      </c>
      <c r="B2" s="14" t="s">
        <v>121</v>
      </c>
      <c r="C2" s="14">
        <v>8556.58</v>
      </c>
      <c r="D2" s="14">
        <v>78</v>
      </c>
      <c r="E2" s="14">
        <f>C2*D2</f>
        <v>667413.24</v>
      </c>
    </row>
    <row r="3" spans="1:5" ht="24" x14ac:dyDescent="0.25">
      <c r="A3" s="15" t="s">
        <v>1</v>
      </c>
      <c r="B3" s="15" t="s">
        <v>122</v>
      </c>
      <c r="C3" s="15">
        <v>5855.88</v>
      </c>
      <c r="D3" s="15">
        <v>56</v>
      </c>
      <c r="E3" s="14">
        <f>C3*D3</f>
        <v>327929.28000000003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POSICAO_DETALHADA_EMISSAO_ITAU</vt:lpstr>
      <vt:lpstr>POSICAO_DETALHADA_ACOES</vt:lpstr>
      <vt:lpstr>POSICAO_DETALHADA_RF_CORRETORA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 Inhasz</dc:creator>
  <cp:lastModifiedBy>Rafael Inhasz</cp:lastModifiedBy>
  <dcterms:created xsi:type="dcterms:W3CDTF">2026-08-26T01:02:28Z</dcterms:created>
  <dcterms:modified xsi:type="dcterms:W3CDTF">2026-08-26T01:43:42Z</dcterms:modified>
</cp:coreProperties>
</file>